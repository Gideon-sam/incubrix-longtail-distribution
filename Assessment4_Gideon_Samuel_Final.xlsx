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Start_Here" sheetId="1" state="visible" r:id="rId1"/>
    <sheet name="1_Your_Details" sheetId="2" state="visible" r:id="rId2"/>
    <sheet name="2_Must_haves" sheetId="3" state="visible" r:id="rId3"/>
    <sheet name="3_Levels" sheetId="4" state="visible" r:id="rId4"/>
    <sheet name="4_Integration" sheetId="5" state="visible" r:id="rId5"/>
    <sheet name="5_Metrics" sheetId="6" state="visible" r:id="rId6"/>
    <sheet name="6_Hard_cases" sheetId="7" state="visible" r:id="rId7"/>
    <sheet name="7_Declaration"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color rgb="FFFFFFFF"/>
      <sz val="10"/>
    </font>
    <font>
      <name val="Arial"/>
      <charset val="1"/>
      <family val="0"/>
      <b val="1"/>
      <color rgb="FFFFFFFF"/>
      <sz val="10"/>
    </font>
    <font>
      <name val="Arial"/>
      <charset val="1"/>
      <family val="0"/>
      <color rgb="FF14212B"/>
      <sz val="10"/>
    </font>
    <font>
      <name val="Arial"/>
      <charset val="1"/>
      <family val="0"/>
      <b val="1"/>
      <color rgb="FF14212B"/>
      <sz val="10"/>
    </font>
    <font>
      <name val="Arial"/>
      <charset val="1"/>
      <family val="0"/>
      <i val="1"/>
      <color rgb="FF5B6B78"/>
      <sz val="10"/>
    </font>
  </fonts>
  <fills count="8">
    <fill>
      <patternFill/>
    </fill>
    <fill>
      <patternFill patternType="gray125"/>
    </fill>
    <fill>
      <patternFill patternType="solid">
        <fgColor rgb="FF0B1B2B"/>
        <bgColor rgb="FF14212B"/>
      </patternFill>
    </fill>
    <fill>
      <patternFill patternType="solid">
        <fgColor rgb="FF008F8A"/>
        <bgColor rgb="FF008080"/>
      </patternFill>
    </fill>
    <fill>
      <patternFill patternType="solid">
        <fgColor rgb="FFF3F5F7"/>
        <bgColor rgb="FFE7F5F3"/>
      </patternFill>
    </fill>
    <fill>
      <patternFill patternType="solid">
        <fgColor rgb="FF12324D"/>
        <bgColor rgb="FF14212B"/>
      </patternFill>
    </fill>
    <fill>
      <patternFill patternType="solid">
        <fgColor rgb="FFE7F5F3"/>
        <bgColor rgb="FFF3F5F7"/>
      </patternFill>
    </fill>
    <fill>
      <patternFill patternType="solid">
        <fgColor rgb="FFFFF4C7"/>
        <bgColor rgb="FFF3F5F7"/>
      </patternFill>
    </fill>
  </fills>
  <borders count="7">
    <border>
      <left/>
      <right/>
      <top/>
      <bottom/>
      <diagonal/>
    </border>
    <border>
      <left style="thin">
        <color rgb="FFD5DDE3"/>
      </left>
      <right/>
      <top style="thin">
        <color rgb="FFD5DDE3"/>
      </top>
      <bottom style="thin">
        <color rgb="FFD5DDE3"/>
      </bottom>
      <diagonal/>
    </border>
    <border>
      <left style="thin">
        <color rgb="FFD5DDE3"/>
      </left>
      <right style="thin">
        <color rgb="FFD5DDE3"/>
      </right>
      <top style="thin">
        <color rgb="FFD5DDE3"/>
      </top>
      <bottom style="thin">
        <color rgb="FFD5DDE3"/>
      </bottom>
      <diagonal/>
    </border>
    <border>
      <left/>
      <right/>
      <top style="thin">
        <color rgb="FFD5DDE3"/>
      </top>
      <bottom/>
      <diagonal/>
    </border>
    <border>
      <left/>
      <right/>
      <top style="thin">
        <color rgb="FFD5DDE3"/>
      </top>
      <bottom style="thin">
        <color rgb="FFD5DDE3"/>
      </bottom>
      <diagonal/>
    </border>
    <border>
      <left/>
      <right style="thin">
        <color rgb="FFD5DDE3"/>
      </right>
      <top style="thin">
        <color rgb="FFD5DDE3"/>
      </top>
      <bottom/>
      <diagonal/>
    </border>
    <border>
      <left/>
      <right style="thin">
        <color rgb="FFD5DDE3"/>
      </right>
      <top style="thin">
        <color rgb="FFD5DDE3"/>
      </top>
      <bottom style="thin">
        <color rgb="FFD5DD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5" fillId="3" borderId="1" applyAlignment="1" pivotButton="0" quotePrefix="0" xfId="0">
      <alignment horizontal="general" vertical="top" wrapText="1"/>
    </xf>
    <xf numFmtId="0" fontId="6" fillId="3" borderId="2" applyAlignment="1" pivotButton="0" quotePrefix="0" xfId="0">
      <alignment horizontal="general" vertical="top" wrapText="1"/>
    </xf>
    <xf numFmtId="0" fontId="7" fillId="0"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6" borderId="2" applyAlignment="1" pivotButton="0" quotePrefix="0" xfId="0">
      <alignment horizontal="general" vertical="top" wrapText="1"/>
    </xf>
    <xf numFmtId="0" fontId="7" fillId="7" borderId="1" applyAlignment="1" pivotButton="0" quotePrefix="0" xfId="0">
      <alignment horizontal="general" vertical="top" wrapText="1"/>
    </xf>
    <xf numFmtId="0" fontId="7" fillId="7" borderId="2" applyAlignment="1" pivotButton="0" quotePrefix="0" xfId="0">
      <alignment horizontal="general" vertical="top" wrapText="1"/>
    </xf>
    <xf numFmtId="0" fontId="9" fillId="4" borderId="2" applyAlignment="1" pivotButton="0" quotePrefix="0" xfId="0">
      <alignment horizontal="general" vertical="top" wrapText="1"/>
    </xf>
    <xf numFmtId="0" fontId="0" fillId="0" borderId="6"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F8A"/>
      <rgbColor rgb="FFC0C0C0"/>
      <rgbColor rgb="FF808080"/>
      <rgbColor rgb="FF9999FF"/>
      <rgbColor rgb="FF993366"/>
      <rgbColor rgb="FFFFF4C7"/>
      <rgbColor rgb="FFE7F5F3"/>
      <rgbColor rgb="FF660066"/>
      <rgbColor rgb="FFFF8080"/>
      <rgbColor rgb="FF0066CC"/>
      <rgbColor rgb="FFD5DDE3"/>
      <rgbColor rgb="FF000080"/>
      <rgbColor rgb="FFFF00FF"/>
      <rgbColor rgb="FFFFFF00"/>
      <rgbColor rgb="FF00FFFF"/>
      <rgbColor rgb="FF800080"/>
      <rgbColor rgb="FF800000"/>
      <rgbColor rgb="FF008080"/>
      <rgbColor rgb="FF0000FF"/>
      <rgbColor rgb="FF00CCFF"/>
      <rgbColor rgb="FFF3F5F7"/>
      <rgbColor rgb="FFCCFFCC"/>
      <rgbColor rgb="FFFFFF99"/>
      <rgbColor rgb="FF99CCFF"/>
      <rgbColor rgb="FFFF99CC"/>
      <rgbColor rgb="FFCC99FF"/>
      <rgbColor rgb="FFFFCC99"/>
      <rgbColor rgb="FF3366FF"/>
      <rgbColor rgb="FF33CCCC"/>
      <rgbColor rgb="FF99CC00"/>
      <rgbColor rgb="FFFFCC00"/>
      <rgbColor rgb="FFFF9900"/>
      <rgbColor rgb="FFFF6600"/>
      <rgbColor rgb="FF5B6B78"/>
      <rgbColor rgb="FF969696"/>
      <rgbColor rgb="FF12324D"/>
      <rgbColor rgb="FF339966"/>
      <rgbColor rgb="FF0B1B2B"/>
      <rgbColor rgb="FF333300"/>
      <rgbColor rgb="FF993300"/>
      <rgbColor rgb="FF993366"/>
      <rgbColor rgb="FF333399"/>
      <rgbColor rgb="FF14212B"/>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 min="1" max="1"/>
    <col width="96" customWidth="1" style="12" min="2" max="2"/>
    <col width="16" customWidth="1" style="12" min="3" max="3"/>
  </cols>
  <sheetData>
    <row r="1" ht="24" customHeight="1" s="13">
      <c r="A1" s="14" t="inlineStr">
        <is>
          <t>IncuBrix Engineering Assessment 4 | Distribution: Long-Tail Destination Network | Submission Form</t>
        </is>
      </c>
      <c r="B1" s="15" t="n"/>
      <c r="C1" s="15" t="n"/>
    </row>
    <row r="2" ht="31.5" customHeight="1" s="13">
      <c r="A2" s="16" t="inlineStr">
        <is>
          <t>This form is how you show us what you built. Fill it as you work. We verify every claim, so be precise.</t>
        </is>
      </c>
      <c r="B2" s="15" t="n"/>
      <c r="C2" s="15" t="n"/>
    </row>
    <row r="4" ht="19.5" customHeight="1" s="13">
      <c r="A4" s="17" t="n">
        <v>1</v>
      </c>
      <c r="B4" s="18" t="inlineStr">
        <is>
          <t>Read the assessment brief (PDF) first.</t>
        </is>
      </c>
    </row>
    <row r="5" ht="19.5" customHeight="1" s="13">
      <c r="A5" s="17" t="n">
        <v>2</v>
      </c>
      <c r="B5" s="18" t="inlineStr">
        <is>
          <t>1_Your_Details: your contact details and all links.</t>
        </is>
      </c>
    </row>
    <row r="6" ht="19.5" customHeight="1" s="13">
      <c r="A6" s="17" t="n">
        <v>3</v>
      </c>
      <c r="B6" s="18" t="inlineStr">
        <is>
          <t>2_Must_haves: mark each must-have Yes or No with evidence. Every one must pass to be selected.</t>
        </is>
      </c>
    </row>
    <row r="7" ht="19.5" customHeight="1" s="13">
      <c r="A7" s="17" t="n">
        <v>4</v>
      </c>
      <c r="B7" s="18" t="inlineStr">
        <is>
          <t>3_Levels: mark each item Yes / Partial / No with evidence. The level you reached is calculated for you.</t>
        </is>
      </c>
    </row>
    <row r="8" ht="19.5" customHeight="1" s="13">
      <c r="A8" s="17" t="n">
        <v>5</v>
      </c>
      <c r="B8" s="18" t="inlineStr">
        <is>
          <t>4_Integration: mark each Integration Standard point with evidence.</t>
        </is>
      </c>
    </row>
    <row r="9" ht="19.5" customHeight="1" s="13">
      <c r="A9" s="17" t="n">
        <v>6</v>
      </c>
      <c r="B9" s="18" t="inlineStr">
        <is>
          <t>5_Metrics: enter your measured numbers.  6_Hard_cases: say how your system handles each situation.</t>
        </is>
      </c>
    </row>
    <row r="10" ht="19.5" customHeight="1" s="13">
      <c r="A10" s="17" t="n">
        <v>7</v>
      </c>
      <c r="B10" s="18" t="inlineStr">
        <is>
          <t>7_Declaration: answer every statement and sign.</t>
        </is>
      </c>
    </row>
    <row r="11" ht="19.5" customHeight="1" s="13">
      <c r="A11" s="17" t="n">
        <v>8</v>
      </c>
      <c r="B11" s="18" t="inlineStr">
        <is>
          <t>Save as Assessment4_YourName.xlsx and attach it to your reply to the invitation email before the deadline.</t>
        </is>
      </c>
    </row>
    <row r="13" ht="15" customHeight="1" s="13">
      <c r="B13" s="19" t="inlineStr">
        <is>
          <t>Colour key: YELLOW = you fill in.  GREEN = calculated automatically.  GREY = instructions or example.</t>
        </is>
      </c>
    </row>
    <row r="15" ht="15" customHeight="1" s="13">
      <c r="B15" s="20" t="inlineStr">
        <is>
          <t>Your self-check (updates as you fill the form)</t>
        </is>
      </c>
      <c r="C15" s="21" t="n"/>
    </row>
    <row r="16" ht="15" customHeight="1" s="13">
      <c r="B16" s="19" t="inlineStr">
        <is>
          <t>Must-haves marked Yes</t>
        </is>
      </c>
      <c r="C16" s="22">
        <f>COUNTIF(2_Must_haves!C6:C14,"Yes")&amp;" of 9"</f>
        <v/>
      </c>
    </row>
    <row r="17" ht="15" customHeight="1" s="13">
      <c r="B17" s="19" t="inlineStr">
        <is>
          <t>Level reached</t>
        </is>
      </c>
      <c r="C17" s="22">
        <f>3_Levels!C18</f>
        <v/>
      </c>
    </row>
    <row r="18" ht="15" customHeight="1" s="13">
      <c r="B18" s="19" t="inlineStr">
        <is>
          <t>Level marks claimed (40)</t>
        </is>
      </c>
      <c r="C18" s="22">
        <f>3_Levels!C19</f>
        <v/>
      </c>
    </row>
    <row r="19" ht="15" customHeight="1" s="13">
      <c r="B19" s="19" t="inlineStr">
        <is>
          <t>Integration marks claimed (20)</t>
        </is>
      </c>
      <c r="C19" s="22">
        <f>4_Integration!C15</f>
        <v/>
      </c>
    </row>
    <row r="20" ht="15" customHeight="1" s="13">
      <c r="B20" s="19" t="inlineStr">
        <is>
          <t>Self-assessed marks before our checks (60)</t>
        </is>
      </c>
      <c r="C20" s="22">
        <f>3_Levels!C19+4_Integration!C15</f>
        <v/>
      </c>
    </row>
    <row r="22" ht="43.5" customHeight="1" s="13">
      <c r="B22" s="23" t="inlineStr">
        <is>
          <t>We then verify your claims and add up to 20 marks for 5 hidden tests (screening total 80). Candidates with all must-haves verified and 60+ in screening are invited to a live session worth 20 marks. A claim without evidence scores 0; a false claim disqualifies the submission.</t>
        </is>
      </c>
      <c r="C22" s="15" t="n"/>
    </row>
  </sheetData>
  <mergeCells count="3">
    <mergeCell ref="A1:C1"/>
    <mergeCell ref="B22:C22"/>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2" min="1" max="1"/>
    <col width="70" customWidth="1" style="12" min="2" max="2"/>
  </cols>
  <sheetData>
    <row r="1" ht="24" customHeight="1" s="13">
      <c r="A1" s="14" t="inlineStr">
        <is>
          <t>IncuBrix Assessment 4 | Submission Form | Distribution: Long-Tail Destination Network</t>
        </is>
      </c>
      <c r="B1" s="15" t="n"/>
    </row>
    <row r="2" ht="31.5" customHeight="1" s="13">
      <c r="A2" s="16" t="inlineStr">
        <is>
          <t>Fill every YELLOW cell. Put links to evidence (repo path, output file, log, demo-video timestamp or URL) next to every claim. Save as Assessment4_&lt;YourName&gt;.xlsx and attach it to your reply email.</t>
        </is>
      </c>
      <c r="B2" s="15" t="n"/>
    </row>
    <row r="4" ht="19.5" customHeight="1" s="13">
      <c r="A4" s="19" t="inlineStr">
        <is>
          <t>Full name</t>
        </is>
      </c>
      <c r="B4" s="24" t="inlineStr">
        <is>
          <t>Gideon Samuel</t>
        </is>
      </c>
    </row>
    <row r="5" ht="19.5" customHeight="1" s="13">
      <c r="A5" s="19" t="inlineStr">
        <is>
          <t>Email</t>
        </is>
      </c>
      <c r="B5" s="24" t="n"/>
    </row>
    <row r="6" ht="19.5" customHeight="1" s="13">
      <c r="A6" s="19" t="inlineStr">
        <is>
          <t>Phone</t>
        </is>
      </c>
      <c r="B6" s="24" t="n"/>
    </row>
    <row r="7" ht="19.5" customHeight="1" s="13">
      <c r="A7" s="19" t="inlineStr">
        <is>
          <t>College and degree</t>
        </is>
      </c>
      <c r="B7" s="24" t="inlineStr">
        <is>
          <t>Thiagarajar College of Engineering (TCE), Computer Science and Business Systems</t>
        </is>
      </c>
    </row>
    <row r="8" ht="19.5" customHeight="1" s="13">
      <c r="A8" s="19" t="inlineStr">
        <is>
          <t>Graduation year</t>
        </is>
      </c>
      <c r="B8" s="24" t="n">
        <v>2027</v>
      </c>
    </row>
    <row r="9" ht="19.5" customHeight="1" s="13">
      <c r="A9" s="19" t="inlineStr">
        <is>
          <t>Live demo URL</t>
        </is>
      </c>
      <c r="B9" s="24" t="inlineStr">
        <is>
          <t>https://incubrix-longtail.eastasia.cloudapp.azure.com/dashboard</t>
        </is>
      </c>
    </row>
    <row r="10" ht="19.5" customHeight="1" s="13">
      <c r="A10" s="19" t="inlineStr">
        <is>
          <t>Live demo access token or login (if protected)</t>
        </is>
      </c>
      <c r="B10" s="24" t="inlineStr">
        <is>
          <t>1db2bb674718eaf6b1b7a3d90645f3a3cb0d46411bad011d</t>
        </is>
      </c>
    </row>
    <row r="11" ht="19.5" customHeight="1" s="13">
      <c r="A11" s="19" t="inlineStr">
        <is>
          <t>Cold-start wait time (if any)</t>
        </is>
      </c>
      <c r="B11" s="24" t="inlineStr">
        <is>
          <t>0 seconds (persistent 24/7 background systemd service)</t>
        </is>
      </c>
    </row>
    <row r="12" ht="19.5" customHeight="1" s="13">
      <c r="A12" s="19" t="inlineStr">
        <is>
          <t>Repository URL (private, reviewer invited)</t>
        </is>
      </c>
      <c r="B12" s="24" t="inlineStr">
        <is>
          <t>https://github.com/Gideon-sam/incubrix-longtail-distribution</t>
        </is>
      </c>
    </row>
    <row r="13" ht="19.5" customHeight="1" s="13">
      <c r="A13" s="19" t="inlineStr">
        <is>
          <t>Demo video URL (max 8 min, unedited)</t>
        </is>
      </c>
      <c r="B13" s="24" t="n"/>
    </row>
    <row r="14" ht="19.5" customHeight="1" s="13">
      <c r="A14" s="19" t="inlineStr">
        <is>
          <t>REPORT.md link</t>
        </is>
      </c>
      <c r="B14" s="24" t="inlineStr">
        <is>
          <t>https://github.com/Gideon-sam/incubrix-longtail-distribution/blob/main/REPORT.md</t>
        </is>
      </c>
    </row>
    <row r="15" ht="19.5" customHeight="1" s="13">
      <c r="A15" s="19" t="inlineStr">
        <is>
          <t>Compute used (laptop / cloud / GPU, with specs)</t>
        </is>
      </c>
      <c r="B15" s="24" t="inlineStr">
        <is>
          <t>Azure Standard B2s Linux VM (2 vCPU, 4GB RAM) + Windows 11 PC</t>
        </is>
      </c>
    </row>
    <row r="16" ht="19.5" customHeight="1" s="13">
      <c r="A16" s="19" t="inlineStr">
        <is>
          <t>Paid services used and total cost</t>
        </is>
      </c>
      <c r="B16" s="24" t="inlineStr">
        <is>
          <t>$0.00 (Standard open-source libraries and Azure student credits)</t>
        </is>
      </c>
    </row>
    <row r="17" ht="19.5" customHeight="1" s="13">
      <c r="A17" s="19" t="inlineStr">
        <is>
          <t>AI coding tools used (details in AI_USE.md)</t>
        </is>
      </c>
      <c r="B17" s="24" t="inlineStr">
        <is>
          <t>Google Antigravity (details in AI_USE.md)</t>
        </is>
      </c>
    </row>
    <row r="18" ht="19.5" customHeight="1" s="13">
      <c r="A18" s="19" t="inlineStr">
        <is>
          <t>Approximate hours spent</t>
        </is>
      </c>
      <c r="B18" s="24" t="inlineStr">
        <is>
          <t>45 hours</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60" customWidth="1" style="12" min="2" max="2"/>
    <col width="10" customWidth="1" style="12" min="3" max="3"/>
    <col width="50" customWidth="1" style="12" min="4" max="4"/>
    <col width="36" customWidth="1" style="12" min="5" max="5"/>
  </cols>
  <sheetData>
    <row r="1" ht="24" customHeight="1" s="13">
      <c r="A1" s="14" t="inlineStr">
        <is>
          <t>Must-haves - every one must pass</t>
        </is>
      </c>
      <c r="B1" s="15" t="n"/>
      <c r="C1" s="15" t="n"/>
      <c r="D1" s="15" t="n"/>
      <c r="E1" s="15" t="n"/>
    </row>
    <row r="2" ht="31.5" customHeight="1" s="13">
      <c r="A2" s="16" t="inlineStr">
        <is>
          <t>Mark Met = Yes only if it fully works. Give links that let us check it in minutes.</t>
        </is>
      </c>
      <c r="B2" s="15" t="n"/>
      <c r="C2" s="15" t="n"/>
      <c r="D2" s="15" t="n"/>
      <c r="E2" s="15" t="n"/>
    </row>
    <row r="4" ht="30" customHeight="1" s="13">
      <c r="A4" s="20" t="inlineStr">
        <is>
          <t>#</t>
        </is>
      </c>
      <c r="B4" s="20" t="inlineStr">
        <is>
          <t>Must-have</t>
        </is>
      </c>
      <c r="C4" s="20" t="inlineStr">
        <is>
          <t>Met?</t>
        </is>
      </c>
      <c r="D4" s="20" t="inlineStr">
        <is>
          <t>Evidence links (files, logs, tests, video timestamp)</t>
        </is>
      </c>
      <c r="E4" s="20" t="inlineStr">
        <is>
          <t>Notes / limits</t>
        </is>
      </c>
    </row>
    <row r="5" ht="23.85" customHeight="1" s="13">
      <c r="A5" s="25" t="inlineStr">
        <is>
          <t>Ex.</t>
        </is>
      </c>
      <c r="B5" s="25" t="inlineStr">
        <is>
          <t>Example row - shows the expected format (do not edit)</t>
        </is>
      </c>
      <c r="C5" s="25" t="inlineStr">
        <is>
          <t>Yes</t>
        </is>
      </c>
      <c r="D5" s="25" t="inlineStr">
        <is>
          <t>repo/tests/test_length.py ; outputs/run_07/manifest.json ; demo video 02:15</t>
        </is>
      </c>
      <c r="E5" s="25" t="inlineStr">
        <is>
          <t>Fails above 290 s - see REPORT.md section 4</t>
        </is>
      </c>
    </row>
    <row r="6" ht="42" customHeight="1" s="13">
      <c r="A6" s="18" t="n">
        <v>1</v>
      </c>
      <c r="B6" s="18" t="inlineStr">
        <is>
          <t>Exact connector contract. Every connector implements the methods, manifest and error codes in Appendix A.
We verify: Our contract test suite runs against your service.</t>
        </is>
      </c>
      <c r="C6" s="24" t="inlineStr">
        <is>
          <t>Yes</t>
        </is>
      </c>
      <c r="D6" s="24" t="inlineStr">
        <is>
          <t>connectors/ ; api/routers/connector_runtime.py ; openapi.yaml ; tests/test_core.py</t>
        </is>
      </c>
      <c r="E6" s="24" t="inlineStr">
        <is>
          <t>pytest tests/test_core.py -v ; https://incubrix-longtail.eastasia.cloudapp.azure.com/docs</t>
        </is>
      </c>
    </row>
    <row r="7" ht="97.5" customHeight="1" s="13">
      <c r="A7" s="18" t="n">
        <v>2</v>
      </c>
      <c r="B7" s="18" t="inlineStr">
        <is>
          <t>Six Core connectors certified: Discourse, Lemmy, Dev.to, Ghost, a generic signed webhook (HMAC) for partner sites, and an assisted connector that builds a ready-to-post pack (media, text, link, rules checklist, submit link) where automation is not allowed.
We verify: Certification evidence plus our own runs against the local test instances.</t>
        </is>
      </c>
      <c r="C7" s="24" t="inlineStr">
        <is>
          <t>Yes</t>
        </is>
      </c>
      <c r="D7" s="24" t="inlineStr">
        <is>
          <t>evidence/certification/ ; tests/test_core.py ; tests/test_phase2_hard_cases.py</t>
        </is>
      </c>
      <c r="E7" s="24" t="inlineStr">
        <is>
          <t>Dashboard -&gt; Certification Lab tab -&gt; Run Full Certification Loop</t>
        </is>
      </c>
    </row>
    <row r="8" ht="42" customHeight="1" s="13">
      <c r="A8" s="18" t="n">
        <v>3</v>
      </c>
      <c r="B8" s="18" t="inlineStr">
        <is>
          <t>Configuration, not code. Adding another forum, community or site of a supported type is one catalogue row.
We verify: We add a new instance during review.</t>
        </is>
      </c>
      <c r="C8" s="24" t="inlineStr">
        <is>
          <t>Yes</t>
        </is>
      </c>
      <c r="D8" s="24" t="inlineStr">
        <is>
          <t>catalogue/real_destinations.csv ; api/routers/destinations.py ; tests/test_phase2_hard_cases.py</t>
        </is>
      </c>
      <c r="E8" s="24" t="inlineStr">
        <is>
          <t>POST /api/v1/destinations or inspect catalogue/real_destinations.csv</t>
        </is>
      </c>
    </row>
    <row r="9" ht="69.75" customHeight="1" s="13">
      <c r="A9" s="18" t="n">
        <v>4</v>
      </c>
      <c r="B9" s="18" t="inlineStr">
        <is>
          <t>Rules checked before every post: frequency cap, self-promotion policy, link policy and AI-content disclosure. A post that breaks a rule is blocked or rescheduled with a reason.
We verify: We send a second post inside a weekly cap and a promotional post to a no-promotion destination.</t>
        </is>
      </c>
      <c r="C9" s="24" t="inlineStr">
        <is>
          <t>Yes</t>
        </is>
      </c>
      <c r="D9" s="24" t="inlineStr">
        <is>
          <t>api/services/rules_engine.py ; tests/test_rules_engine.py ; tests/test_phase2_hard_cases.py</t>
        </is>
      </c>
      <c r="E9" s="24" t="inlineStr">
        <is>
          <t>pytest tests/test_rules_engine.py -v</t>
        </is>
      </c>
    </row>
    <row r="10" ht="84" customHeight="1" s="13">
      <c r="A10" s="18" t="n">
        <v>5</v>
      </c>
      <c r="B10" s="18" t="inlineStr">
        <is>
          <t>Never spam, never cheat. Test posts go only to your own test instances or agreed sandbox areas, and are deleted within 10 minutes. No fake accounts, no scraping where it is not allowed, and platform rate limits respected (back off on 429 using the reset time).
We verify: We review your logs, code and evidence.</t>
        </is>
      </c>
      <c r="C10" s="24" t="inlineStr">
        <is>
          <t>Yes</t>
        </is>
      </c>
      <c r="D10" s="24" t="inlineStr">
        <is>
          <t>api/services/job_manager.py ; evidence/certification/ ; tests/test_phase2_hard_cases.py</t>
        </is>
      </c>
      <c r="E10" s="24" t="inlineStr">
        <is>
          <t>Inspect post deletion in tests/test_phase2_hard_cases.py and evidence/certification/</t>
        </is>
      </c>
    </row>
    <row r="11" ht="42" customHeight="1" s="13">
      <c r="A11" s="18" t="n">
        <v>6</v>
      </c>
      <c r="B11" s="18" t="inlineStr">
        <is>
          <t>Safe retries. The same idempotency key never creates a second post, even after a timeout.
We verify: We force a timeout and retry.</t>
        </is>
      </c>
      <c r="C11" s="24" t="inlineStr">
        <is>
          <t>Yes</t>
        </is>
      </c>
      <c r="D11" s="24" t="inlineStr">
        <is>
          <t>api/services/idempotency.py ; tests/test_phase2_hard_cases.py ; tests/test_services.py</t>
        </is>
      </c>
      <c r="E11" s="24" t="inlineStr">
        <is>
          <t>pytest tests/test_phase2_hard_cases.py::test_2_1_idempotency_retry</t>
        </is>
      </c>
    </row>
    <row r="12" ht="69.75" customHeight="1" s="13">
      <c r="A12" s="18" t="n">
        <v>7</v>
      </c>
      <c r="B12" s="18" t="inlineStr">
        <is>
          <t>Secrets protected and simulation mode. Tokens never appear in logs or the repository; a simulation mode with mock platforms lets everything run with no real accounts.
We verify: We search logs and the repository; we run in simulation mode.</t>
        </is>
      </c>
      <c r="C12" s="24" t="inlineStr">
        <is>
          <t>Yes</t>
        </is>
      </c>
      <c r="D12" s="24" t="inlineStr">
        <is>
          <t>.gitignore ; .env.example ; api/middleware/logging_mw.py ; tests/test_core.py</t>
        </is>
      </c>
      <c r="E12" s="24" t="inlineStr">
        <is>
          <t>pytest tests/test_core.py (runs fully offline in SIMULATION_MODE=true)</t>
        </is>
      </c>
    </row>
    <row r="13" ht="55.5" customHeight="1" s="13">
      <c r="A13" s="18" t="n">
        <v>8</v>
      </c>
      <c r="B13" s="18" t="inlineStr">
        <is>
          <t>Local test instances. docker compose up starts your service plus local Lemmy and Ghost instances (and mock servers for the rest) so we can run real posts end to end.
We verify: We run your compose file on a clean machine.</t>
        </is>
      </c>
      <c r="C13" s="24" t="inlineStr">
        <is>
          <t>Yes</t>
        </is>
      </c>
      <c r="D13" s="24" t="inlineStr">
        <is>
          <t>docker-compose.yml ; Dockerfile ; Dockerfile.mocks ; tests/test_core.py</t>
        </is>
      </c>
      <c r="E13" s="24" t="inlineStr">
        <is>
          <t>docker compose up -d (boots all 11 services including Ghost and Lemmy)</t>
        </is>
      </c>
    </row>
    <row r="14" ht="42" customHeight="1" s="13">
      <c r="A14" s="18" t="n">
        <v>9</v>
      </c>
      <c r="B14" s="18" t="inlineStr">
        <is>
          <t>Integration Standard followed and the live demo works for the whole review period.
We verify: See the Integration Standard section.</t>
        </is>
      </c>
      <c r="C14" s="24" t="inlineStr">
        <is>
          <t>Yes</t>
        </is>
      </c>
      <c r="D14" s="24" t="inlineStr">
        <is>
          <t>https://incubrix-longtail.eastasia.cloudapp.azure.com/dashboard ; openapi.yaml ; batch_runner.py ; REPORT.md</t>
        </is>
      </c>
      <c r="E14" s="24" t="inlineStr">
        <is>
          <t>python batch_runner.py --input-dir tests/batch_inputs --output-dir batch_results</t>
        </is>
      </c>
    </row>
  </sheetData>
  <mergeCells count="2">
    <mergeCell ref="A2:E2"/>
    <mergeCell ref="A1:E1"/>
  </mergeCells>
  <dataValidations count="1">
    <dataValidation sqref="C6:C1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2" min="1" max="1"/>
    <col width="62" customWidth="1" style="12" min="2" max="2"/>
    <col width="11" customWidth="1" style="12" min="3" max="3"/>
    <col width="44" customWidth="1" style="12" min="4" max="4"/>
    <col width="34" customWidth="1" style="12" min="5" max="5"/>
  </cols>
  <sheetData>
    <row r="1" ht="24" customHeight="1" s="13">
      <c r="A1" s="14" t="inlineStr">
        <is>
          <t>Levels you reached</t>
        </is>
      </c>
      <c r="B1" s="15" t="n"/>
      <c r="C1" s="15" t="n"/>
      <c r="D1" s="15" t="n"/>
      <c r="E1" s="15" t="n"/>
    </row>
    <row r="2" ht="31.5" customHeight="1" s="13">
      <c r="A2" s="16" t="inlineStr">
        <is>
          <t>A level counts only if every item in it is Yes, and only if the level before it counts. Core 15 marks, Advanced 15, Outstanding 10.</t>
        </is>
      </c>
      <c r="B2" s="15" t="n"/>
      <c r="C2" s="15" t="n"/>
      <c r="D2" s="15" t="n"/>
      <c r="E2" s="15" t="n"/>
    </row>
    <row r="4" ht="30" customHeight="1" s="13">
      <c r="A4" s="20" t="inlineStr">
        <is>
          <t>Level</t>
        </is>
      </c>
      <c r="B4" s="20" t="inlineStr">
        <is>
          <t>Item</t>
        </is>
      </c>
      <c r="C4" s="20" t="inlineStr">
        <is>
          <t>Done?</t>
        </is>
      </c>
      <c r="D4" s="20" t="inlineStr">
        <is>
          <t>Evidence links</t>
        </is>
      </c>
      <c r="E4" s="20" t="inlineStr">
        <is>
          <t>How we can see it (command, URL, file)</t>
        </is>
      </c>
    </row>
    <row r="5" ht="19.5" customHeight="1" s="13">
      <c r="A5" s="19" t="inlineStr">
        <is>
          <t>Core</t>
        </is>
      </c>
      <c r="B5" s="18" t="inlineStr">
        <is>
          <t>All must-haves pass.</t>
        </is>
      </c>
      <c r="C5" s="24" t="inlineStr">
        <is>
          <t>Yes</t>
        </is>
      </c>
      <c r="D5" s="24" t="inlineStr">
        <is>
          <t>evidence/certification/ ; tests/test_core.py</t>
        </is>
      </c>
      <c r="E5" s="24" t="inlineStr">
        <is>
          <t>pytest tests/test_core.py -v ; https://incubrix-longtail.eastasia.cloudapp.azure.com/dashboard</t>
        </is>
      </c>
    </row>
    <row r="6" ht="42" customHeight="1" s="13">
      <c r="A6" s="19" t="inlineStr">
        <is>
          <t>Core</t>
        </is>
      </c>
      <c r="B6" s="18" t="inlineStr">
        <is>
          <t>Each Core connector passes the full certification run (publish, confirm live URL, status, delete) with stored evidence.</t>
        </is>
      </c>
      <c r="C6" s="24" t="inlineStr">
        <is>
          <t>Yes</t>
        </is>
      </c>
      <c r="D6" s="24" t="inlineStr">
        <is>
          <t>evidence/certification/{discourse,lemmy,devto,ghost,hmac_webhook,assisted}/</t>
        </is>
      </c>
      <c r="E6" s="24" t="inlineStr">
        <is>
          <t>Dashboard -&gt; Certification Lab tab -&gt; Run Full Certification Loop</t>
        </is>
      </c>
    </row>
    <row r="7" ht="42" customHeight="1" s="13">
      <c r="A7" s="19" t="inlineStr">
        <is>
          <t>Core</t>
        </is>
      </c>
      <c r="B7" s="18" t="inlineStr">
        <is>
          <t>Errors from each platform are mapped to the shared error codes, including expired tokens, rate limits and rejected content.</t>
        </is>
      </c>
      <c r="C7" s="24" t="inlineStr">
        <is>
          <t>Yes</t>
        </is>
      </c>
      <c r="D7" s="24" t="inlineStr">
        <is>
          <t>api/schemas/error.py ; connectors/errors.py ; tests/test_phase2_hard_cases.py</t>
        </is>
      </c>
      <c r="E7" s="24" t="inlineStr">
        <is>
          <t>pytest tests/test_phase2_hard_cases.py::test_2_3_expired_token_mapping</t>
        </is>
      </c>
    </row>
    <row r="8" ht="69.75" customHeight="1" s="13">
      <c r="A8" s="19" t="inlineStr">
        <is>
          <t>Advanced</t>
        </is>
      </c>
      <c r="B8" s="18" t="inlineStr">
        <is>
          <t>Catalogue import: a CSV of destinations is validated, de-duplicated (normalised URL plus platform), checked for reachability and enriched (for example member count); 1,000 rows import in under 5 minutes with a row-by-row error report.</t>
        </is>
      </c>
      <c r="C8" s="24" t="inlineStr">
        <is>
          <t>Yes</t>
        </is>
      </c>
      <c r="D8" s="24" t="inlineStr">
        <is>
          <t>evidence/benchmarks/catalogue_import_1000_benchmark.json ; api/routers/catalogue.py</t>
        </is>
      </c>
      <c r="E8" s="24" t="inlineStr">
        <is>
          <t>python scratch/benchmark_1000_import.py or Dashboard Catalogue -&gt; Import CSV</t>
        </is>
      </c>
    </row>
    <row r="9" ht="42" customHeight="1" s="13">
      <c r="A9" s="19" t="inlineStr">
        <is>
          <t>Advanced</t>
        </is>
      </c>
      <c r="B9" s="18" t="inlineStr">
        <is>
          <t>Rules capture: an AI step reads a community's rules page and proposes its posting rules; a person confirms them before they are used.</t>
        </is>
      </c>
      <c r="C9" s="24" t="inlineStr">
        <is>
          <t>Yes</t>
        </is>
      </c>
      <c r="D9" s="24" t="inlineStr">
        <is>
          <t>api/routers/catalogue.py ; tests/test_phase2_hard_cases.py ; api/models/rule.py</t>
        </is>
      </c>
      <c r="E9" s="24" t="inlineStr">
        <is>
          <t>POST /api/v1/rules/capture then POST /api/v1/rules/{id}/confirm</t>
        </is>
      </c>
    </row>
    <row r="10" ht="27.75" customHeight="1" s="13">
      <c r="A10" s="19" t="inlineStr">
        <is>
          <t>Advanced</t>
        </is>
      </c>
      <c r="B10" s="18" t="inlineStr">
        <is>
          <t>Relevance score from 1 to 5 against IncuBrix's audience, with a short explanation for each destination.</t>
        </is>
      </c>
      <c r="C10" s="24" t="inlineStr">
        <is>
          <t>Yes</t>
        </is>
      </c>
      <c r="D10" s="24" t="inlineStr">
        <is>
          <t>catalogue/real_destinations.csv ; api/models/destination.py</t>
        </is>
      </c>
      <c r="E10" s="24" t="inlineStr">
        <is>
          <t>GET /api/v1/destinations (each item includes relevance_score 1-5 and reason)</t>
        </is>
      </c>
    </row>
    <row r="11" ht="55.5" customHeight="1" s="13">
      <c r="A11" s="19" t="inlineStr">
        <is>
          <t>Advanced</t>
        </is>
      </c>
      <c r="B11" s="18" t="inlineStr">
        <is>
          <t>Tailoring: each destination gets a fitting title and text, for example discussion-first framing for forums, a canonical URL for articles, truncation at a word boundary, correct hashtag and mention style.</t>
        </is>
      </c>
      <c r="C11" s="24" t="inlineStr">
        <is>
          <t>Yes</t>
        </is>
      </c>
      <c r="D11" s="24" t="inlineStr">
        <is>
          <t>api/routers/tailor.py ; tests/test_phase2_hard_cases.py</t>
        </is>
      </c>
      <c r="E11" s="24" t="inlineStr">
        <is>
          <t>POST /api/v1/tailor or Dashboard Studio -&gt; Tailor with AI</t>
        </is>
      </c>
    </row>
    <row r="12" ht="27.75" customHeight="1" s="13">
      <c r="A12" s="19" t="inlineStr">
        <is>
          <t>Advanced</t>
        </is>
      </c>
      <c r="B12" s="18" t="inlineStr">
        <is>
          <t>Three more connectors from: Hashnode, Slack app, Kit or Mailchimp newsletter, MRSS video feed, PeerTube.</t>
        </is>
      </c>
      <c r="C12" s="24" t="inlineStr">
        <is>
          <t>Yes</t>
        </is>
      </c>
      <c r="D12" s="24" t="inlineStr">
        <is>
          <t>connectors/hashnode/ ; connectors/mrss/ ; connectors/peertube/ ; evidence/certification/</t>
        </is>
      </c>
      <c r="E12" s="24" t="inlineStr">
        <is>
          <t>GET /api/v1/connectors (lists 9 connectors: 6 core + hashnode, mrss, peertube)</t>
        </is>
      </c>
    </row>
    <row r="13" ht="42" customHeight="1" s="13">
      <c r="A13" s="19" t="inlineStr">
        <is>
          <t>Outstanding</t>
        </is>
      </c>
      <c r="B13" s="18" t="inlineStr">
        <is>
          <t>Recommender: given a content item, rank destinations by fit (audience, rules, past results) with a reason for each, and measure precision of the top 10 on a set you label.</t>
        </is>
      </c>
      <c r="C13" s="24" t="inlineStr">
        <is>
          <t>Yes</t>
        </is>
      </c>
      <c r="D13" s="24" t="inlineStr">
        <is>
          <t>evidence/benchmarks/recommender_precision_eval.txt ; catalogue/recommender_eval.py</t>
        </is>
      </c>
      <c r="E13" s="24" t="inlineStr">
        <is>
          <t>python catalogue/recommender_eval.py or Dashboard AI Recommender tab</t>
        </is>
      </c>
    </row>
    <row r="14" ht="27.75" customHeight="1" s="13">
      <c r="A14" s="19" t="inlineStr">
        <is>
          <t>Outstanding</t>
        </is>
      </c>
      <c r="B14" s="18" t="inlineStr">
        <is>
          <t>Metrics: fetch_metrics works on at least three connectors, normalised to views, likes, comments, shares and clicks.</t>
        </is>
      </c>
      <c r="C14" s="24" t="inlineStr">
        <is>
          <t>Yes</t>
        </is>
      </c>
      <c r="D14" s="24" t="inlineStr">
        <is>
          <t>connectors/ghost/connector.py ; connectors/devto/connector.py ; connectors/hashnode/connector.py</t>
        </is>
      </c>
      <c r="E14" s="24" t="inlineStr">
        <is>
          <t>POST /connector/v1/ghost/fetch_metrics ; pytest tests/test_metrics.py</t>
        </is>
      </c>
    </row>
    <row r="15" ht="42" customHeight="1" s="13">
      <c r="A15" s="19" t="inlineStr">
        <is>
          <t>Outstanding</t>
        </is>
      </c>
      <c r="B15" s="18" t="inlineStr">
        <is>
          <t>Recertification: a scheduler re-tests destinations before 30 days; a failing destination is demoted and excluded automatically, with a ticket or alert.</t>
        </is>
      </c>
      <c r="C15" s="24" t="inlineStr">
        <is>
          <t>Yes</t>
        </is>
      </c>
      <c r="D15" s="24" t="inlineStr">
        <is>
          <t>api/services/recertification.py ; tests/test_phase2_hard_cases.py</t>
        </is>
      </c>
      <c r="E15" s="24" t="inlineStr">
        <is>
          <t>POST /api/v1/recertify/run-all or pytest tests/test_phase2_hard_cases.py</t>
        </is>
      </c>
    </row>
    <row r="16" ht="42" customHeight="1" s="13">
      <c r="A16" s="19" t="inlineStr">
        <is>
          <t>Outstanding</t>
        </is>
      </c>
      <c r="B16" s="18" t="inlineStr">
        <is>
          <t>Real catalogue: at least 150 real, relevant destinations researched with rules, relevance score and connector type (catalogue only - no posting to them).</t>
        </is>
      </c>
      <c r="C16" s="24" t="inlineStr">
        <is>
          <t>Yes</t>
        </is>
      </c>
      <c r="D16" s="24" t="inlineStr">
        <is>
          <t>catalogue/real_destinations.csv ; evidence/catalogue/catalogue_validation_report.txt</t>
        </is>
      </c>
      <c r="E16" s="24" t="inlineStr">
        <is>
          <t>GET /api/v1/destinations returns 159+ researched destinations with rules and scores</t>
        </is>
      </c>
    </row>
    <row r="18" ht="15" customHeight="1" s="13">
      <c r="B18" s="19" t="inlineStr">
        <is>
          <t>Level reached (calculated)</t>
        </is>
      </c>
      <c r="C18" s="22">
        <f>IF(AND(AND(COUNTIF(C5:C7,"Yes")=3,COUNTIF(C8:C12,"Yes")=5),COUNTIF(C13:C16,"Yes")=4),"Outstanding",IF(AND(COUNTIF(C5:C7,"Yes")=3,COUNTIF(C8:C12,"Yes")=5),"Advanced",IF(COUNTIF(C5:C7,"Yes")=3,"Core","Below Core")))</f>
        <v/>
      </c>
      <c r="D18" s="26" t="n"/>
    </row>
    <row r="19" ht="15" customHeight="1" s="13">
      <c r="B19" s="19" t="inlineStr">
        <is>
          <t>Level marks claimed (out of 40)</t>
        </is>
      </c>
      <c r="C19" s="22">
        <f>IF(AND(AND(COUNTIF(C5:C7,"Yes")=3,COUNTIF(C8:C12,"Yes")=5),COUNTIF(C13:C16,"Yes")=4),40,IF(AND(COUNTIF(C5:C7,"Yes")=3,COUNTIF(C8:C12,"Yes")=5),30,IF(COUNTIF(C5:C7,"Yes")=3,15,0)))</f>
        <v/>
      </c>
    </row>
  </sheetData>
  <mergeCells count="3">
    <mergeCell ref="A2:E2"/>
    <mergeCell ref="A1:E1"/>
    <mergeCell ref="C18:D18"/>
  </mergeCells>
  <dataValidations count="1">
    <dataValidation sqref="C5:C16"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58" customWidth="1" style="12" min="2" max="2"/>
    <col width="11" customWidth="1" style="12" min="3" max="3"/>
    <col width="46" customWidth="1" style="12" min="4" max="4"/>
  </cols>
  <sheetData>
    <row r="1" ht="24" customHeight="1" s="13">
      <c r="A1" s="14" t="inlineStr">
        <is>
          <t>Integration Standard - 2 marks each (20)</t>
        </is>
      </c>
      <c r="B1" s="15" t="n"/>
      <c r="C1" s="15" t="n"/>
      <c r="D1" s="15" t="n"/>
    </row>
    <row r="2" ht="31.5" customHeight="1" s="13">
      <c r="A2" s="16" t="inlineStr">
        <is>
          <t>Yes = fully meets it (2), Partial = partly (1), No = missing (0).</t>
        </is>
      </c>
      <c r="B2" s="15" t="n"/>
      <c r="C2" s="15" t="n"/>
      <c r="D2" s="15" t="n"/>
    </row>
    <row r="4" ht="30" customHeight="1" s="13">
      <c r="A4" s="20" t="inlineStr">
        <is>
          <t>Point</t>
        </is>
      </c>
      <c r="B4" s="20" t="inlineStr">
        <is>
          <t>What exactly we check</t>
        </is>
      </c>
      <c r="C4" s="20" t="inlineStr">
        <is>
          <t>Done?</t>
        </is>
      </c>
      <c r="D4" s="20" t="inlineStr">
        <is>
          <t>Evidence links</t>
        </is>
      </c>
    </row>
    <row r="5" ht="69.75" customHeight="1" s="13">
      <c r="A5" s="19" t="inlineStr">
        <is>
          <t>1. One-command start and test</t>
        </is>
      </c>
      <c r="B5" s="18" t="inlineStr">
        <is>
          <t>docker compose up starts the service and everything it needs (database, storage, local test servers). One command runs all tests (unit, integration and at least one end-to-end) with no API keys. A .env.example lists every setting.</t>
        </is>
      </c>
      <c r="C5" s="24" t="inlineStr">
        <is>
          <t>Yes</t>
        </is>
      </c>
      <c r="D5" s="24" t="inlineStr">
        <is>
          <t>docker-compose.yml ; Dockerfile ; .env.example ; tests/test_core.py</t>
        </is>
      </c>
    </row>
    <row r="6" ht="27.75" customHeight="1" s="13">
      <c r="A6" s="19" t="inlineStr">
        <is>
          <t>2. Documented HTTP API</t>
        </is>
      </c>
      <c r="B6" s="18" t="inlineStr">
        <is>
          <t>An openapi.yaml (OpenAPI 3.1) that matches the running service exactly. All routes under /api/v1/.</t>
        </is>
      </c>
      <c r="C6" s="24" t="inlineStr">
        <is>
          <t>Yes</t>
        </is>
      </c>
      <c r="D6" s="24" t="inlineStr">
        <is>
          <t>openapi.yaml ; https://incubrix-longtail.eastasia.cloudapp.azure.com/docs</t>
        </is>
      </c>
    </row>
    <row r="7" ht="69.75" customHeight="1" s="13">
      <c r="A7" s="19" t="inlineStr">
        <is>
          <t>3. Background jobs</t>
        </is>
      </c>
      <c r="B7" s="18" t="inlineStr">
        <is>
          <t>Anything slower than 2 seconds runs as a job: POST returns 202 with a job_id; GET /api/v1/jobs/{job_id} returns status (queued, running, succeeded, failed), progress 0-100 and result links. Optional callback URL, signed with HMAC-SHA256 in an X-IncuBrix-Signature header.</t>
        </is>
      </c>
      <c r="C7" s="24" t="inlineStr">
        <is>
          <t>Yes</t>
        </is>
      </c>
      <c r="D7" s="24" t="inlineStr">
        <is>
          <t>api/services/job_manager.py ; api/routers/publish.py</t>
        </is>
      </c>
    </row>
    <row r="8" ht="42" customHeight="1" s="13">
      <c r="A8" s="19" t="inlineStr">
        <is>
          <t>4. Safe retries</t>
        </is>
      </c>
      <c r="B8" s="18" t="inlineStr">
        <is>
          <t>An Idempotency-Key header on every POST: sending the same request twice with the same key returns the same job and never does the work twice.</t>
        </is>
      </c>
      <c r="C8" s="24" t="inlineStr">
        <is>
          <t>Yes</t>
        </is>
      </c>
      <c r="D8" s="24" t="inlineStr">
        <is>
          <t>api/services/idempotency.py ; tests/test_phase2_hard_cases.py</t>
        </is>
      </c>
    </row>
    <row r="9" ht="42" customHeight="1" s="13">
      <c r="A9" s="19" t="inlineStr">
        <is>
          <t>5. Clear errors</t>
        </is>
      </c>
      <c r="B9" s="18" t="inlineStr">
        <is>
          <t>Errors are JSON: {"error": {"code", "message", "retryable", "details"}}. Codes are UPPER_SNAKE_CASE and listed in the README.</t>
        </is>
      </c>
      <c r="C9" s="24" t="inlineStr">
        <is>
          <t>Yes</t>
        </is>
      </c>
      <c r="D9" s="24" t="inlineStr">
        <is>
          <t>api/schemas/error.py ; README.md</t>
        </is>
      </c>
    </row>
    <row r="10" ht="42" customHeight="1" s="13">
      <c r="A10" s="19" t="inlineStr">
        <is>
          <t>6. Configuration</t>
        </is>
      </c>
      <c r="B10" s="18" t="inlineStr">
        <is>
          <t>All settings, paths, model names and limits come from environment variables or a config file. No hard-coded paths or keys.</t>
        </is>
      </c>
      <c r="C10" s="24" t="inlineStr">
        <is>
          <t>Yes</t>
        </is>
      </c>
      <c r="D10" s="24" t="inlineStr">
        <is>
          <t>api/config.py ; .env.example</t>
        </is>
      </c>
    </row>
    <row r="11" ht="42" customHeight="1" s="13">
      <c r="A11" s="19" t="inlineStr">
        <is>
          <t>7. Files in, files out</t>
        </is>
      </c>
      <c r="B11" s="18" t="inlineStr">
        <is>
          <t>Inputs accepted as an upload or a URL. Outputs saved to S3-compatible storage (MinIO in the compose file is fine) and returned as download links.</t>
        </is>
      </c>
      <c r="C11" s="24" t="inlineStr">
        <is>
          <t>Yes</t>
        </is>
      </c>
      <c r="D11" s="24" t="inlineStr">
        <is>
          <t>api/services/storage.py ; docker-compose.yml</t>
        </is>
      </c>
    </row>
    <row r="12" ht="42" customHeight="1" s="13">
      <c r="A12" s="19" t="inlineStr">
        <is>
          <t>8. Logs and health</t>
        </is>
      </c>
      <c r="B12" s="18" t="inlineStr">
        <is>
          <t>Structured JSON logs with timestamp, level, job_id and the X-Correlation-Id from the request. GET /health and GET /ready endpoints.</t>
        </is>
      </c>
      <c r="C12" s="24" t="inlineStr">
        <is>
          <t>Yes</t>
        </is>
      </c>
      <c r="D12" s="24" t="inlineStr">
        <is>
          <t>api/middleware/logging_mw.py ; https://incubrix-longtail.eastasia.cloudapp.azure.com/health</t>
        </is>
      </c>
    </row>
    <row r="13" ht="55.5" customHeight="1" s="13">
      <c r="A13" s="19" t="inlineStr">
        <is>
          <t>9. Output manifest</t>
        </is>
      </c>
      <c r="B13" s="18" t="inlineStr">
        <is>
          <t>Every result includes a JSON manifest: which models/providers and versions were used, settings, seed, timings, cost estimate, warnings, and licence/rights information.</t>
        </is>
      </c>
      <c r="C13" s="24" t="inlineStr">
        <is>
          <t>Yes</t>
        </is>
      </c>
      <c r="D13" s="24" t="inlineStr">
        <is>
          <t>api/services/job_manager.py ; manifest.json</t>
        </is>
      </c>
    </row>
    <row r="14" ht="55.5" customHeight="1" s="13">
      <c r="A14" s="19" t="inlineStr">
        <is>
          <t>10. Batch runner</t>
        </is>
      </c>
      <c r="B14" s="18" t="inlineStr">
        <is>
          <t>A command-line tool that runs a folder or file of test inputs against the API and writes all results to one folder. We use this to test every submission the same way.</t>
        </is>
      </c>
      <c r="C14" s="24" t="inlineStr">
        <is>
          <t>Yes</t>
        </is>
      </c>
      <c r="D14" s="24" t="inlineStr">
        <is>
          <t>batch_runner.py ; tests/batch_inputs/ ; batch_results/</t>
        </is>
      </c>
    </row>
    <row r="15" ht="15" customHeight="1" s="13">
      <c r="B15" s="19" t="inlineStr">
        <is>
          <t>Integration marks claimed (out of 20)</t>
        </is>
      </c>
      <c r="C15" s="22">
        <f>COUNTIF(C5:C14,"Yes")*2+COUNTIF(C5:C14,"Partial")</f>
        <v/>
      </c>
    </row>
  </sheetData>
  <mergeCells count="2">
    <mergeCell ref="A1:D1"/>
    <mergeCell ref="A2:D2"/>
  </mergeCells>
  <dataValidations count="1">
    <dataValidation sqref="C5:C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 min="1" max="1"/>
    <col width="50" customWidth="1" style="12" min="2" max="2"/>
    <col width="20" customWidth="1" style="12" min="3" max="3"/>
    <col width="34" customWidth="1" style="12" min="4" max="4"/>
    <col width="40" customWidth="1" style="12" min="5" max="5"/>
  </cols>
  <sheetData>
    <row r="1" ht="24" customHeight="1" s="13">
      <c r="A1" s="14" t="inlineStr">
        <is>
          <t>Measured numbers</t>
        </is>
      </c>
      <c r="B1" s="15" t="n"/>
      <c r="C1" s="15" t="n"/>
      <c r="D1" s="15" t="n"/>
      <c r="E1" s="15" t="n"/>
    </row>
    <row r="2" ht="31.5" customHeight="1" s="13">
      <c r="A2" s="16" t="inlineStr">
        <is>
          <t>Real measurements only. State the hardware and the number of runs. 'Not measured' is acceptable; a guessed number is not.</t>
        </is>
      </c>
      <c r="B2" s="15" t="n"/>
      <c r="C2" s="15" t="n"/>
      <c r="D2" s="15" t="n"/>
      <c r="E2" s="15" t="n"/>
    </row>
    <row r="4" ht="30" customHeight="1" s="13">
      <c r="A4" s="20" t="inlineStr">
        <is>
          <t>Metric</t>
        </is>
      </c>
      <c r="B4" s="20" t="inlineStr">
        <is>
          <t>How to measure it</t>
        </is>
      </c>
      <c r="C4" s="20" t="inlineStr">
        <is>
          <t>Your value</t>
        </is>
      </c>
      <c r="D4" s="20" t="inlineStr">
        <is>
          <t>Hardware / runs / conditions</t>
        </is>
      </c>
      <c r="E4" s="20" t="inlineStr">
        <is>
          <t>Evidence links</t>
        </is>
      </c>
    </row>
    <row r="5" ht="27.75" customHeight="1" s="13">
      <c r="A5" s="19" t="inlineStr">
        <is>
          <t>Certification</t>
        </is>
      </c>
      <c r="B5" s="18" t="inlineStr">
        <is>
          <t>Number of destinations certified per connector, time per certification run, and evidence links.</t>
        </is>
      </c>
      <c r="C5" s="24" t="inlineStr">
        <is>
          <t>9 connectors, ~450ms per run</t>
        </is>
      </c>
      <c r="D5" s="24" t="inlineStr">
        <is>
          <t>Local Docker / Azure Standard B2s (2 vCPU, 4GB RAM)</t>
        </is>
      </c>
      <c r="E5" s="24" t="inlineStr">
        <is>
          <t>evidence/certification/</t>
        </is>
      </c>
    </row>
    <row r="6" ht="42" customHeight="1" s="13">
      <c r="A6" s="19" t="inlineStr">
        <is>
          <t>Reliability</t>
        </is>
      </c>
      <c r="B6" s="18" t="inlineStr">
        <is>
          <t>Publish success rate in simulation and on local instances; duplicate posts under retry tests (must be 0).</t>
        </is>
      </c>
      <c r="C6" s="24" t="inlineStr">
        <is>
          <t>100% success rate, 0 duplicate posts</t>
        </is>
      </c>
      <c r="D6" s="24" t="inlineStr">
        <is>
          <t>57 test runs, concurrent duplicate tests</t>
        </is>
      </c>
      <c r="E6" s="24" t="inlineStr">
        <is>
          <t>tests/test_phase2_hard_cases.py</t>
        </is>
      </c>
    </row>
    <row r="7" ht="27.75" customHeight="1" s="13">
      <c r="A7" s="19" t="inlineStr">
        <is>
          <t>Rule safety</t>
        </is>
      </c>
      <c r="B7" s="18" t="inlineStr">
        <is>
          <t>Rule violations caught versus missed on our rule test set (any missed violation is serious).</t>
        </is>
      </c>
      <c r="C7" s="24" t="inlineStr">
        <is>
          <t>100% violations caught (0 missed)</t>
        </is>
      </c>
      <c r="D7" s="24" t="inlineStr">
        <is>
          <t>Test suite rule cases (promo, freq cap, link, AI)</t>
        </is>
      </c>
      <c r="E7" s="24" t="inlineStr">
        <is>
          <t>tests/test_rules_engine.py</t>
        </is>
      </c>
    </row>
    <row r="8" ht="27.75" customHeight="1" s="13">
      <c r="A8" s="19" t="inlineStr">
        <is>
          <t>Catalogue (Advanced)</t>
        </is>
      </c>
      <c r="B8" s="18" t="inlineStr">
        <is>
          <t>Rows imported, duplicates and errors found, time for 1,000 rows.</t>
        </is>
      </c>
      <c r="C8" s="24" t="inlineStr">
        <is>
          <t>1,000 rows in 0.078s, 50 errors, 0 dups</t>
        </is>
      </c>
      <c r="D8" s="24" t="inlineStr">
        <is>
          <t>Windows 11 AMD64 (12 CPUs, 16GB RAM), Python 3.12</t>
        </is>
      </c>
      <c r="E8" s="24" t="inlineStr">
        <is>
          <t>evidence/benchmarks/catalogue_import_1000_benchmark.json</t>
        </is>
      </c>
    </row>
    <row r="9" ht="19.5" customHeight="1" s="13">
      <c r="A9" s="19" t="inlineStr">
        <is>
          <t>Recommendation (Outstanding)</t>
        </is>
      </c>
      <c r="B9" s="18" t="inlineStr">
        <is>
          <t>Precision of the top 10 on your labelled set.</t>
        </is>
      </c>
      <c r="C9" s="24" t="inlineStr">
        <is>
          <t>64.0% Mean Precision@10</t>
        </is>
      </c>
      <c r="D9" s="24" t="inlineStr">
        <is>
          <t>5 ground-truth labelled content profiles</t>
        </is>
      </c>
      <c r="E9" s="24" t="inlineStr">
        <is>
          <t>evidence/benchmarks/recommender_precision_eval.txt</t>
        </is>
      </c>
    </row>
    <row r="10" ht="19.5" customHeight="1" s="13">
      <c r="A10" s="19" t="inlineStr">
        <is>
          <t>Cost</t>
        </is>
      </c>
      <c r="B10" s="18" t="inlineStr">
        <is>
          <t>Any API or model cost per 1,000 publications.</t>
        </is>
      </c>
      <c r="C10" s="24" t="inlineStr">
        <is>
          <t>$0.00 mock AI; est. $0.075 / 1,000 pubs (Gemini Flash)</t>
        </is>
      </c>
      <c r="D10" s="24" t="inlineStr">
        <is>
          <t>~1,000 tokens per publication estimate</t>
        </is>
      </c>
      <c r="E10" s="24" t="inlineStr">
        <is>
          <t>REPORT.md</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2" min="1" max="1"/>
    <col width="52" customWidth="1" style="12" min="2" max="2"/>
    <col width="11" customWidth="1" style="12" min="3" max="3"/>
    <col width="50" customWidth="1" style="12" min="4" max="4"/>
    <col width="40" customWidth="1" style="12" min="5" max="5"/>
  </cols>
  <sheetData>
    <row r="1" ht="24" customHeight="1" s="13">
      <c r="A1" s="14" t="inlineStr">
        <is>
          <t>Hard cases you tested</t>
        </is>
      </c>
      <c r="B1" s="15" t="n"/>
      <c r="C1" s="15" t="n"/>
      <c r="D1" s="15" t="n"/>
      <c r="E1" s="15" t="n"/>
    </row>
    <row r="2" ht="31.5" customHeight="1" s="13">
      <c r="A2" s="16" t="inlineStr">
        <is>
          <t>For each situation, say what your system does and link to the test output. We will run 5 hidden tests of these kinds.</t>
        </is>
      </c>
      <c r="B2" s="15" t="n"/>
      <c r="C2" s="15" t="n"/>
      <c r="D2" s="15" t="n"/>
      <c r="E2" s="15" t="n"/>
    </row>
    <row r="4" ht="30" customHeight="1" s="13">
      <c r="A4" s="20" t="inlineStr">
        <is>
          <t>#</t>
        </is>
      </c>
      <c r="B4" s="20" t="inlineStr">
        <is>
          <t>Situation</t>
        </is>
      </c>
      <c r="C4" s="20" t="inlineStr">
        <is>
          <t>Tested?</t>
        </is>
      </c>
      <c r="D4" s="20" t="inlineStr">
        <is>
          <t>What your system does</t>
        </is>
      </c>
      <c r="E4" s="20" t="inlineStr">
        <is>
          <t>Evidence links</t>
        </is>
      </c>
    </row>
    <row r="5" ht="27.75" customHeight="1" s="13">
      <c r="A5" s="18" t="n">
        <v>1</v>
      </c>
      <c r="B5" s="18" t="inlineStr">
        <is>
          <t>A publish call that times out and is retried with the same idempotency key.</t>
        </is>
      </c>
      <c r="C5" s="24" t="inlineStr">
        <is>
          <t>Yes</t>
        </is>
      </c>
      <c r="D5" s="24" t="inlineStr">
        <is>
          <t>Catches idempotency key in Redis/DB, returns identical 202 Accepted and job ID without duplicate broadcast.</t>
        </is>
      </c>
      <c r="E5" s="24" t="inlineStr">
        <is>
          <t>tests/test_phase2_hard_cases.py::test_2_1_idempotency_retry</t>
        </is>
      </c>
    </row>
    <row r="6" ht="27.75" customHeight="1" s="13">
      <c r="A6" s="18" t="n">
        <v>2</v>
      </c>
      <c r="B6" s="18" t="inlineStr">
        <is>
          <t>A 429 response with a reset time; an expired token; content rejected by the platform.</t>
        </is>
      </c>
      <c r="C6" s="24" t="inlineStr">
        <is>
          <t>Yes</t>
        </is>
      </c>
      <c r="D6" s="24" t="inlineStr">
        <is>
          <t>Extracts Retry-After, applies backoff; maps 401/403 to CONNECTION_AUTH_EXPIRED; maps platform rejections to PLATFORM_CONTENT_REJECTED.</t>
        </is>
      </c>
      <c r="E6" s="24" t="inlineStr">
        <is>
          <t>tests/test_phase2_hard_cases.py::test_2_3_expired_token_mapping ; tests/test_hard_cases.py</t>
        </is>
      </c>
    </row>
    <row r="7" ht="27.75" customHeight="1" s="13">
      <c r="A7" s="18" t="n">
        <v>3</v>
      </c>
      <c r="B7" s="18" t="inlineStr">
        <is>
          <t>A title or body longer than the destination allows; media the destination does not accept.</t>
        </is>
      </c>
      <c r="C7" s="24" t="inlineStr">
        <is>
          <t>Yes</t>
        </is>
      </c>
      <c r="D7" s="24" t="inlineStr">
        <is>
          <t>Rejects overlong titles with DEST_SPEC_VIOLATION; tailoring engine auto-truncates at word boundaries.</t>
        </is>
      </c>
      <c r="E7" s="24" t="inlineStr">
        <is>
          <t>tests/test_phase2_hard_cases.py::test_2_4_dest_spec_violation ; tests/test_core.py</t>
        </is>
      </c>
    </row>
    <row r="8" ht="42" customHeight="1" s="13">
      <c r="A8" s="18" t="n">
        <v>4</v>
      </c>
      <c r="B8" s="18" t="inlineStr">
        <is>
          <t>A second post inside a destination's frequency cap; a promotional post to a community that bans self-promotion.</t>
        </is>
      </c>
      <c r="C8" s="24" t="inlineStr">
        <is>
          <t>Yes</t>
        </is>
      </c>
      <c r="D8" s="24" t="inlineStr">
        <is>
          <t>Blocks second post with DEST_RULE_FREQUENCY_CAP and reschedule_at timestamp; blocks promo with DEST_RULE_SELF_PROMO.</t>
        </is>
      </c>
      <c r="E8" s="24" t="inlineStr">
        <is>
          <t>tests/test_phase2_hard_cases.py::test_2_5_frequency_cap_reschedule_at ; tests/test_rules_engine.py</t>
        </is>
      </c>
    </row>
    <row r="9" ht="42" customHeight="1" s="13">
      <c r="A9" s="18" t="n">
        <v>5</v>
      </c>
      <c r="B9" s="18" t="inlineStr">
        <is>
          <t>A platform that renames a field in its API: certification must fail and the destination must be demoted.</t>
        </is>
      </c>
      <c r="C9" s="24" t="inlineStr">
        <is>
          <t>Yes</t>
        </is>
      </c>
      <c r="D9" s="24" t="inlineStr">
        <is>
          <t>Certification fails gracefully, logs error, demotes destination level and removes it from active recommendations.</t>
        </is>
      </c>
      <c r="E9" s="24" t="inlineStr">
        <is>
          <t>tests/test_phase2_hard_cases.py::test_2_9_schema_drift_handling</t>
        </is>
      </c>
    </row>
    <row r="10" ht="27.75" customHeight="1" s="13">
      <c r="A10" s="18" t="n">
        <v>6</v>
      </c>
      <c r="B10" s="18" t="inlineStr">
        <is>
          <t>A CSV with duplicates, bad URLs and mixed languages; a partner who revokes permission.</t>
        </is>
      </c>
      <c r="C10" s="24" t="inlineStr">
        <is>
          <t>Yes</t>
        </is>
      </c>
      <c r="D10" s="24" t="inlineStr">
        <is>
          <t>Normalizes URLs, skips duplicates, reports each bad row with row number; blocks revoked destinations with DEST_SPEC_VIOLATION.</t>
        </is>
      </c>
      <c r="E10" s="24" t="inlineStr">
        <is>
          <t>tests/test_phase2_hard_cases.py::test_2_12_csv_import_error_reporting ; test_2_13_revoked_destination_blocked</t>
        </is>
      </c>
    </row>
    <row r="11" ht="27.75" customHeight="1" s="13">
      <c r="A11" s="18" t="n">
        <v>7</v>
      </c>
      <c r="B11" s="18" t="inlineStr">
        <is>
          <t>A non-English community; a destination that requires AI-content disclosure.</t>
        </is>
      </c>
      <c r="C11" s="24" t="inlineStr">
        <is>
          <t>Yes</t>
        </is>
      </c>
      <c r="D11" s="24" t="inlineStr">
        <is>
          <t>Preserves UTF-8 multilingual text; enforces mandatory AI disclosure if destination requires it, blocking undisclosed content.</t>
        </is>
      </c>
      <c r="E11" s="24" t="inlineStr">
        <is>
          <t>tests/test_phase2_hard_cases.py::test_2_6_multilingual_promo_blocking ; test_2_8_ai_disclosure_enforcement</t>
        </is>
      </c>
    </row>
  </sheetData>
  <mergeCells count="2">
    <mergeCell ref="A2:E2"/>
    <mergeCell ref="A1:E1"/>
  </mergeCells>
  <dataValidations count="1">
    <dataValidation sqref="C5:C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0" customWidth="1" style="12" min="1" max="1"/>
    <col width="14" customWidth="1" style="12" min="2" max="2"/>
  </cols>
  <sheetData>
    <row r="1" ht="24" customHeight="1" s="13">
      <c r="A1" s="14" t="inlineStr">
        <is>
          <t>Declaration</t>
        </is>
      </c>
      <c r="B1" s="15" t="n"/>
    </row>
    <row r="2" ht="31.5" customHeight="1" s="13">
      <c r="A2" s="16" t="inlineStr">
        <is>
          <t>Answer every statement. Submissions without a completed declaration are not reviewed.</t>
        </is>
      </c>
      <c r="B2" s="15" t="n"/>
    </row>
    <row r="4" ht="19.5" customHeight="1" s="13">
      <c r="A4" s="18" t="inlineStr">
        <is>
          <t>This is my individual work. I can explain and change any part of it.</t>
        </is>
      </c>
      <c r="B4" s="24" t="inlineStr">
        <is>
          <t>Yes</t>
        </is>
      </c>
    </row>
    <row r="5" ht="19.5" customHeight="1" s="13">
      <c r="A5" s="18" t="inlineStr">
        <is>
          <t>Every claim in this form is true and backed by the evidence I linked.</t>
        </is>
      </c>
      <c r="B5" s="24" t="inlineStr">
        <is>
          <t>Yes</t>
        </is>
      </c>
    </row>
    <row r="6" ht="19.5" customHeight="1" s="13">
      <c r="A6" s="18" t="inlineStr">
        <is>
          <t>All AI tools, models, APIs, libraries, data and media are listed in SOURCES.md and AI_USE.md.</t>
        </is>
      </c>
      <c r="B6" s="24" t="inlineStr">
        <is>
          <t>Yes</t>
        </is>
      </c>
    </row>
    <row r="7" ht="19.5" customHeight="1" s="13">
      <c r="A7" s="18" t="inlineStr">
        <is>
          <t>Everything in my default path, and everything it outputs, is licensed for commercial use.</t>
        </is>
      </c>
      <c r="B7" s="24" t="inlineStr">
        <is>
          <t>Yes</t>
        </is>
      </c>
    </row>
    <row r="8" ht="19.5" customHeight="1" s="13">
      <c r="A8" s="18" t="inlineStr">
        <is>
          <t>No outputs were edited by hand and presented as automated.</t>
        </is>
      </c>
      <c r="B8" s="24" t="inlineStr">
        <is>
          <t>Yes</t>
        </is>
      </c>
    </row>
    <row r="9" ht="19.5" customHeight="1" s="13">
      <c r="A9" s="18" t="inlineStr">
        <is>
          <t>No real person's voice, face or content was used without consent, and no community was spammed.</t>
        </is>
      </c>
      <c r="B9" s="24" t="inlineStr">
        <is>
          <t>Yes</t>
        </is>
      </c>
    </row>
    <row r="10" ht="19.5" customHeight="1" s="13">
      <c r="A10" s="18" t="inlineStr">
        <is>
          <t>No API keys or secrets are in the repository, logs, screenshots or this form.</t>
        </is>
      </c>
      <c r="B10" s="24" t="inlineStr">
        <is>
          <t>Yes</t>
        </is>
      </c>
    </row>
    <row r="11" ht="19.5" customHeight="1" s="13">
      <c r="A11" s="18" t="inlineStr">
        <is>
          <t>My live demo and links will stay available until results are announced.</t>
        </is>
      </c>
      <c r="B11" s="24" t="inlineStr">
        <is>
          <t>Yes</t>
        </is>
      </c>
    </row>
    <row r="12" ht="15" customHeight="1" s="13">
      <c r="A12" s="19" t="inlineStr">
        <is>
          <t>Full name (as signature)</t>
        </is>
      </c>
      <c r="B12" s="24" t="inlineStr">
        <is>
          <t>Gideon Samuel</t>
        </is>
      </c>
    </row>
    <row r="13" ht="15" customHeight="1" s="13">
      <c r="A13" s="19" t="inlineStr">
        <is>
          <t>Date</t>
        </is>
      </c>
      <c r="B13" s="24" t="inlineStr">
        <is>
          <t>20 October 2026</t>
        </is>
      </c>
    </row>
  </sheetData>
  <mergeCells count="2">
    <mergeCell ref="A2:B2"/>
    <mergeCell ref="A1:B1"/>
  </mergeCells>
  <dataValidations count="1">
    <dataValidation sqref="B4:B1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2026-10-13T08:20:02Z</dcterms:created>
  <dcterms:modified xsi:type="dcterms:W3CDTF">2026-10-20T18:30:02Z</dcterms:modified>
  <cp:revision>0</cp:revision>
</cp:coreProperties>
</file>